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mc:AlternateContent xmlns:mc="http://schemas.openxmlformats.org/markup-compatibility/2006">
    <mc:Choice Requires="x15">
      <x15ac:absPath xmlns:x15ac="http://schemas.microsoft.com/office/spreadsheetml/2010/11/ac" url="D:\repos_yoshizawa086\mfds_v1.4.31\mfds_json_api_v4r9\"/>
    </mc:Choice>
  </mc:AlternateContent>
  <bookViews>
    <workbookView xWindow="5700" yWindow="2445" windowWidth="20220" windowHeight="9750"/>
  </bookViews>
  <sheets>
    <sheet name="ｅ支店・ＡＰＩ" sheetId="1" r:id="rId1"/>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94" i="1" l="1"/>
  <c r="G94" i="1"/>
  <c r="F98" i="1"/>
  <c r="F95" i="1"/>
  <c r="C86" i="1"/>
  <c r="E98" i="1"/>
  <c r="I97" i="1"/>
  <c r="I95" i="1"/>
  <c r="I98" i="1"/>
  <c r="E94" i="1"/>
  <c r="H94" i="1"/>
  <c r="D96" i="1"/>
  <c r="D97" i="1"/>
  <c r="E97" i="1"/>
  <c r="G97" i="1"/>
  <c r="H96" i="1"/>
  <c r="I94" i="1"/>
  <c r="G96" i="1"/>
  <c r="E96" i="1"/>
  <c r="G95" i="1"/>
  <c r="E95" i="1"/>
  <c r="D98" i="1"/>
  <c r="I96" i="1"/>
  <c r="H95" i="1"/>
  <c r="H98" i="1"/>
  <c r="D95" i="1"/>
  <c r="F94" i="1"/>
  <c r="F96" i="1"/>
  <c r="H97" i="1"/>
  <c r="G98" i="1"/>
  <c r="F97" i="1"/>
</calcChain>
</file>

<file path=xl/sharedStrings.xml><?xml version="1.0" encoding="utf-8"?>
<sst xmlns="http://schemas.openxmlformats.org/spreadsheetml/2006/main" count="141" uniqueCount="129">
  <si>
    <t>ログイン</t>
    <phoneticPr fontId="1"/>
  </si>
  <si>
    <t>時価</t>
    <rPh sb="0" eb="2">
      <t>ジカ</t>
    </rPh>
    <phoneticPr fontId="1"/>
  </si>
  <si>
    <t>時刻</t>
    <rPh sb="0" eb="2">
      <t>ジコク</t>
    </rPh>
    <phoneticPr fontId="1"/>
  </si>
  <si>
    <t>高値</t>
    <rPh sb="0" eb="2">
      <t>タカネ</t>
    </rPh>
    <phoneticPr fontId="1"/>
  </si>
  <si>
    <t>始値</t>
    <rPh sb="0" eb="2">
      <t>ハジメネ</t>
    </rPh>
    <phoneticPr fontId="1"/>
  </si>
  <si>
    <t>安値</t>
    <rPh sb="0" eb="2">
      <t>ヤスネ</t>
    </rPh>
    <phoneticPr fontId="1"/>
  </si>
  <si>
    <t>前日終値</t>
    <rPh sb="0" eb="2">
      <t>ゼンジツ</t>
    </rPh>
    <rPh sb="2" eb="4">
      <t>オワリネ</t>
    </rPh>
    <phoneticPr fontId="1"/>
  </si>
  <si>
    <t>pDPP</t>
    <phoneticPr fontId="1"/>
  </si>
  <si>
    <t>tDPP:T</t>
    <phoneticPr fontId="1"/>
  </si>
  <si>
    <t>pDOP</t>
    <phoneticPr fontId="1"/>
  </si>
  <si>
    <t>pDHP</t>
    <phoneticPr fontId="1"/>
  </si>
  <si>
    <t>pDLP</t>
    <phoneticPr fontId="1"/>
  </si>
  <si>
    <t>pPRP</t>
    <phoneticPr fontId="1"/>
  </si>
  <si>
    <t>銘柄</t>
    <rPh sb="0" eb="2">
      <t>メイガラ</t>
    </rPh>
    <phoneticPr fontId="1"/>
  </si>
  <si>
    <t>日立</t>
    <rPh sb="0" eb="2">
      <t>ヒタチ</t>
    </rPh>
    <phoneticPr fontId="1"/>
  </si>
  <si>
    <t>トヨタ</t>
    <phoneticPr fontId="1"/>
  </si>
  <si>
    <t>みずほFG</t>
    <phoneticPr fontId="1"/>
  </si>
  <si>
    <t>日清食HD</t>
    <rPh sb="0" eb="2">
      <t>ニッシン</t>
    </rPh>
    <rPh sb="2" eb="3">
      <t>ショク</t>
    </rPh>
    <phoneticPr fontId="1"/>
  </si>
  <si>
    <t>ペッパー</t>
    <phoneticPr fontId="1"/>
  </si>
  <si>
    <t>コード</t>
    <phoneticPr fontId="1"/>
  </si>
  <si>
    <t>名称</t>
    <rPh sb="0" eb="2">
      <t>メイショウ</t>
    </rPh>
    <phoneticPr fontId="1"/>
  </si>
  <si>
    <t>・・・・・</t>
    <phoneticPr fontId="1"/>
  </si>
  <si>
    <t>更新</t>
    <rPh sb="0" eb="2">
      <t>コウシン</t>
    </rPh>
    <phoneticPr fontId="1"/>
  </si>
  <si>
    <t>Create</t>
    <phoneticPr fontId="1"/>
  </si>
  <si>
    <t>Update</t>
    <phoneticPr fontId="1"/>
  </si>
  <si>
    <t>2021.10.11</t>
    <phoneticPr fontId="1"/>
  </si>
  <si>
    <t>上記関数引数項目。</t>
    <rPh sb="0" eb="2">
      <t>ジョウキ</t>
    </rPh>
    <rPh sb="2" eb="4">
      <t>カンスウ</t>
    </rPh>
    <rPh sb="4" eb="6">
      <t>ヒキスウ</t>
    </rPh>
    <rPh sb="6" eb="8">
      <t>コウモク</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</si>
  <si>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</si>
  <si>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１．概要</t>
    <rPh sb="2" eb="4">
      <t>ガイヨウ</t>
    </rPh>
    <phoneticPr fontId="1"/>
  </si>
  <si>
    <t>２．目的</t>
    <rPh sb="2" eb="4">
      <t>モクテキ</t>
    </rPh>
    <phoneticPr fontId="1"/>
  </si>
  <si>
    <t>ｅ支店・ＡＰＩ（HTTPS＋JSON） I/F で接続し時価を取得するための専用 VBA モジュールを提供し、こちらを利用頂くことで</t>
    <rPh sb="0" eb="3">
      <t>エシテン</t>
    </rPh>
    <rPh sb="25" eb="27">
      <t>セツゾク</t>
    </rPh>
    <rPh sb="28" eb="30">
      <t>ジカ</t>
    </rPh>
    <rPh sb="31" eb="33">
      <t>シュトク</t>
    </rPh>
    <rPh sb="38" eb="40">
      <t>センヨウ</t>
    </rPh>
    <rPh sb="51" eb="53">
      <t>テイキョウ</t>
    </rPh>
    <rPh sb="59" eb="61">
      <t>リヨウ</t>
    </rPh>
    <rPh sb="61" eb="62">
      <t>イタダ</t>
    </rPh>
    <phoneticPr fontId="1"/>
  </si>
  <si>
    <t>時価等リアルタイム情報（以下時価情報と呼ぶ）を取得するサンプルです。</t>
  </si>
  <si>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</si>
  <si>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よって、実際にご利用いただく際はサーバへの１アクセスで全ての欲しい情報を取得するよう設計＆実装頂きご利用頂くことをお勧めします。</t>
    <rPh sb="4" eb="6">
      <t>ジッサイ</t>
    </rPh>
    <rPh sb="8" eb="10">
      <t>リヨウ</t>
    </rPh>
    <rPh sb="14" eb="15">
      <t>サイ</t>
    </rPh>
    <rPh sb="27" eb="28">
      <t>スベ</t>
    </rPh>
    <rPh sb="30" eb="31">
      <t>ホ</t>
    </rPh>
    <rPh sb="33" eb="35">
      <t>ジョウホウ</t>
    </rPh>
    <rPh sb="36" eb="38">
      <t>シュトク</t>
    </rPh>
    <rPh sb="42" eb="44">
      <t>セッケイ</t>
    </rPh>
    <rPh sb="45" eb="47">
      <t>ジッソウ</t>
    </rPh>
    <rPh sb="47" eb="48">
      <t>イタダ</t>
    </rPh>
    <rPh sb="50" eb="52">
      <t>リヨウ</t>
    </rPh>
    <rPh sb="52" eb="53">
      <t>イタダ</t>
    </rPh>
    <rPh sb="58" eb="59">
      <t>スス</t>
    </rPh>
    <phoneticPr fontId="1"/>
  </si>
  <si>
    <t>e_ap_feed_get.xlsm</t>
  </si>
  <si>
    <t>・・・・</t>
    <phoneticPr fontId="1"/>
  </si>
  <si>
    <t>ｅ支店・ＡＰＩを EXCEL (VBA) で利用するための専用モジュール。</t>
    <phoneticPr fontId="1"/>
  </si>
  <si>
    <t>本エクセルファイル。</t>
    <rPh sb="0" eb="1">
      <t>ホン</t>
    </rPh>
    <phoneticPr fontId="1"/>
  </si>
  <si>
    <t>利用方法：</t>
    <rPh sb="0" eb="4">
      <t>リヨウホウホウ</t>
    </rPh>
    <phoneticPr fontId="1"/>
  </si>
  <si>
    <t>ログインIDにe支店口座のログインIDを入力する。</t>
    <rPh sb="7" eb="10">
      <t>エシテン</t>
    </rPh>
    <rPh sb="10" eb="12">
      <t>コウザ</t>
    </rPh>
    <rPh sb="20" eb="22">
      <t>ニュウリョク</t>
    </rPh>
    <phoneticPr fontId="1"/>
  </si>
  <si>
    <t>パスワードにe支店口座のログインパスワードを入力する。</t>
    <rPh sb="6" eb="9">
      <t>エシテン</t>
    </rPh>
    <rPh sb="9" eb="11">
      <t>コウザ</t>
    </rPh>
    <rPh sb="22" eb="24">
      <t>ニュウリョク</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</si>
  <si>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</si>
  <si>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【サンプル表】</t>
    <rPh sb="5" eb="6">
      <t>ヒョウ</t>
    </rPh>
    <phoneticPr fontId="1"/>
  </si>
  <si>
    <t>取得項目：</t>
    <rPh sb="0" eb="2">
      <t>シュトク</t>
    </rPh>
    <rPh sb="2" eb="4">
      <t>コウモク</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</si>
  <si>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</si>
  <si>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具体的には１セルに１時価情報取得関数を埋め込んでいるため、全値を取得するには、その数分の関数実行（＝サーバアクセス）が発生します。</t>
    <rPh sb="0" eb="3">
      <t>グタイテキ</t>
    </rPh>
    <rPh sb="10" eb="14">
      <t>ジカジョウホウ</t>
    </rPh>
    <rPh sb="14" eb="16">
      <t>シュトク</t>
    </rPh>
    <rPh sb="16" eb="18">
      <t>カンスウ</t>
    </rPh>
    <rPh sb="19" eb="20">
      <t>ウ</t>
    </rPh>
    <rPh sb="21" eb="22">
      <t>コ</t>
    </rPh>
    <rPh sb="29" eb="30">
      <t>スベ</t>
    </rPh>
    <rPh sb="30" eb="31">
      <t>アタイ</t>
    </rPh>
    <rPh sb="32" eb="34">
      <t>シュトク</t>
    </rPh>
    <rPh sb="41" eb="42">
      <t>スウ</t>
    </rPh>
    <rPh sb="42" eb="43">
      <t>ブン</t>
    </rPh>
    <rPh sb="44" eb="46">
      <t>カンスウ</t>
    </rPh>
    <rPh sb="46" eb="48">
      <t>ジッコウ</t>
    </rPh>
    <rPh sb="59" eb="61">
      <t>ハッセイ</t>
    </rPh>
    <phoneticPr fontId="1"/>
  </si>
  <si>
    <t>VBA での JSON 文字列解析に VBA-JSON v2.3.1（https://github.com/VBA-tools/VBA-JSON/releases/tag/v2.3.1）（MIT License）を利用。</t>
    <rPh sb="12" eb="15">
      <t>モジレツ</t>
    </rPh>
    <rPh sb="15" eb="17">
      <t>カイセキ</t>
    </rPh>
    <rPh sb="107" eb="109">
      <t>リヨウ</t>
    </rPh>
    <phoneticPr fontId="1"/>
  </si>
  <si>
    <t>VBA-JSON v2.3.1（https://github.com/VBA-tools/VBA-JSON/releases/tag/v2.3.1）モジュール。</t>
    <phoneticPr fontId="1"/>
  </si>
  <si>
    <t>※実際にプログラミングしご利用頂く場合、VBA 内でログイン関数（引数固定）で利用の想定です。</t>
    <rPh sb="0" eb="2">
      <t>ジッサイ</t>
    </rPh>
    <rPh sb="13" eb="15">
      <t>リヨウ</t>
    </rPh>
    <rPh sb="15" eb="16">
      <t>イタダ</t>
    </rPh>
    <rPh sb="17" eb="19">
      <t>バアイ</t>
    </rPh>
    <rPh sb="22" eb="23">
      <t>ナイ</t>
    </rPh>
    <rPh sb="29" eb="31">
      <t>カンスウ</t>
    </rPh>
    <rPh sb="33" eb="35">
      <t>ヒキスウ</t>
    </rPh>
    <rPh sb="35" eb="37">
      <t>コテイ</t>
    </rPh>
    <rPh sb="39" eb="41">
      <t>リヨウ</t>
    </rPh>
    <rPh sb="42" eb="44">
      <t>ソウテイ</t>
    </rPh>
    <phoneticPr fontId="1"/>
  </si>
  <si>
    <t>EXCEL の更新実施により埋め込んである時価情報取得用関数を実行し時価を取得するため、</t>
    <rPh sb="7" eb="9">
      <t>コウシン</t>
    </rPh>
    <rPh sb="9" eb="11">
      <t>ジッシ</t>
    </rPh>
    <rPh sb="14" eb="15">
      <t>ウ</t>
    </rPh>
    <rPh sb="16" eb="17">
      <t>コ</t>
    </rPh>
    <rPh sb="21" eb="23">
      <t>ジカ</t>
    </rPh>
    <rPh sb="23" eb="25">
      <t>ジョウホウ</t>
    </rPh>
    <rPh sb="25" eb="27">
      <t>シュトク</t>
    </rPh>
    <rPh sb="27" eb="28">
      <t>ヨウ</t>
    </rPh>
    <rPh sb="28" eb="30">
      <t>カンスウ</t>
    </rPh>
    <rPh sb="31" eb="33">
      <t>ジッコウ</t>
    </rPh>
    <rPh sb="34" eb="36">
      <t>ジカ</t>
    </rPh>
    <rPh sb="37" eb="39">
      <t>シュトク</t>
    </rPh>
    <phoneticPr fontId="1"/>
  </si>
  <si>
    <t>ｅ支店・ＡＰＩ、ログイン関数の実行結果（サーバからのエラーコード（０：正常））を表示します。</t>
    <rPh sb="0" eb="3">
      <t>エシテン</t>
    </rPh>
    <rPh sb="12" eb="14">
      <t>カンスウ</t>
    </rPh>
    <rPh sb="15" eb="17">
      <t>ジッコウ</t>
    </rPh>
    <rPh sb="17" eb="19">
      <t>ケッカ</t>
    </rPh>
    <rPh sb="35" eb="37">
      <t>セイジョウ</t>
    </rPh>
    <rPh sb="40" eb="42">
      <t>ヒョウジ</t>
    </rPh>
    <phoneticPr fontId="1"/>
  </si>
  <si>
    <t>※本値を変更の他、背景青のセルで再入力（リターンを押下）すると該当セルのみ再実行されます。</t>
    <rPh sb="1" eb="2">
      <t>ホン</t>
    </rPh>
    <rPh sb="2" eb="3">
      <t>アタイ</t>
    </rPh>
    <rPh sb="4" eb="6">
      <t>ヘンコウ</t>
    </rPh>
    <rPh sb="7" eb="8">
      <t>ホカ</t>
    </rPh>
    <rPh sb="9" eb="11">
      <t>ハイケイ</t>
    </rPh>
    <rPh sb="11" eb="12">
      <t>アオ</t>
    </rPh>
    <rPh sb="16" eb="19">
      <t>サイニュウリョク</t>
    </rPh>
    <rPh sb="25" eb="27">
      <t>オウカ</t>
    </rPh>
    <rPh sb="31" eb="33">
      <t>ガイトウ</t>
    </rPh>
    <rPh sb="37" eb="40">
      <t>サイジッコウ</t>
    </rPh>
    <phoneticPr fontId="1"/>
  </si>
  <si>
    <t>※ログインエラー（ログインの背景青箇所が０：正常以外）の場合は時価情報取得できません（＃VALUE!表示になります）。</t>
    <rPh sb="14" eb="17">
      <t>ハイケイアオ</t>
    </rPh>
    <rPh sb="17" eb="19">
      <t>カショ</t>
    </rPh>
    <rPh sb="22" eb="24">
      <t>セイジョウ</t>
    </rPh>
    <rPh sb="24" eb="26">
      <t>イガイ</t>
    </rPh>
    <rPh sb="28" eb="30">
      <t>バアイ</t>
    </rPh>
    <rPh sb="31" eb="33">
      <t>ジカ</t>
    </rPh>
    <rPh sb="33" eb="35">
      <t>ジョウホウ</t>
    </rPh>
    <rPh sb="35" eb="37">
      <t>シュトク</t>
    </rPh>
    <rPh sb="50" eb="52">
      <t>ヒョウジ</t>
    </rPh>
    <phoneticPr fontId="1"/>
  </si>
  <si>
    <t>凡例：</t>
    <rPh sb="0" eb="2">
      <t>ハンレイ</t>
    </rPh>
    <phoneticPr fontId="1"/>
  </si>
  <si>
    <t>ｅ支店・ＡＰＩ、専用関数呼出箇所。</t>
    <rPh sb="0" eb="3">
      <t>エシテン</t>
    </rPh>
    <rPh sb="8" eb="10">
      <t>センヨウ</t>
    </rPh>
    <rPh sb="10" eb="12">
      <t>カンスウ</t>
    </rPh>
    <rPh sb="12" eb="13">
      <t>ヨ</t>
    </rPh>
    <rPh sb="13" eb="14">
      <t>ダ</t>
    </rPh>
    <rPh sb="14" eb="16">
      <t>カショ</t>
    </rPh>
    <phoneticPr fontId="1"/>
  </si>
  <si>
    <t>取得項目（コード：pDPP 等）については別紙「https://kabuka.e-shiten.jp/e_api/api_event_if.pdf」の</t>
    <rPh sb="0" eb="2">
      <t>シュトク</t>
    </rPh>
    <rPh sb="2" eb="4">
      <t>コウモク</t>
    </rPh>
    <rPh sb="14" eb="15">
      <t>ナド</t>
    </rPh>
    <rPh sb="21" eb="23">
      <t>ベッシ</t>
    </rPh>
    <phoneticPr fontId="1"/>
  </si>
  <si>
    <t>「３．通知データ仕様」、「（３）ＦＤ」「【通知項目】」を参照願います。</t>
    <rPh sb="30" eb="31">
      <t>ネガ</t>
    </rPh>
    <phoneticPr fontId="1"/>
  </si>
  <si>
    <t>ｅ支店・ＡＰＩのご利用については専用ページ（https://kabuka.e-shiten.jp/e_api/mfds_json_api_menu.html）を参照願います。</t>
    <rPh sb="0" eb="3">
      <t>エシテン</t>
    </rPh>
    <rPh sb="9" eb="11">
      <t>リヨウ</t>
    </rPh>
    <rPh sb="16" eb="18">
      <t>センヨウ</t>
    </rPh>
    <rPh sb="80" eb="82">
      <t>サンショウ</t>
    </rPh>
    <rPh sb="82" eb="83">
      <t>ネガ</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</si>
  <si>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</si>
  <si>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Microsoft EXCEL(VBA) （以下 EXCEL または VBA と呼ぶ）から利用し、</t>
    <phoneticPr fontId="1"/>
  </si>
  <si>
    <t>以下環境について動作確認をしております。</t>
    <rPh sb="0" eb="2">
      <t>イカ</t>
    </rPh>
    <rPh sb="2" eb="4">
      <t>カンキョウ</t>
    </rPh>
    <rPh sb="8" eb="10">
      <t>ドウサ</t>
    </rPh>
    <rPh sb="10" eb="12">
      <t>カクニン</t>
    </rPh>
    <phoneticPr fontId="1"/>
  </si>
  <si>
    <t>提供ファイルにつての利用方法等々のサポートは一切ございませんので予めご了承願います。</t>
    <rPh sb="0" eb="2">
      <t>テイキョウ</t>
    </rPh>
    <rPh sb="10" eb="14">
      <t>リヨウホウホウ</t>
    </rPh>
    <rPh sb="14" eb="16">
      <t>トウトウ</t>
    </rPh>
    <rPh sb="32" eb="33">
      <t>アラカジ</t>
    </rPh>
    <rPh sb="35" eb="37">
      <t>リョウショウ</t>
    </rPh>
    <rPh sb="37" eb="38">
      <t>ネガ</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</si>
  <si>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</si>
  <si>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</si>
  <si>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OS（Microsoft Windows）のバージョンや EXCE のバージョンの組み合わせ、またはパッチのバージョン、ご利用のPC（メーカ等々）の</t>
    <rPh sb="41" eb="42">
      <t>ク</t>
    </rPh>
    <rPh sb="43" eb="44">
      <t>ア</t>
    </rPh>
    <rPh sb="61" eb="63">
      <t>リヨウ</t>
    </rPh>
    <rPh sb="70" eb="72">
      <t>ナドナド</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</si>
  <si>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</si>
  <si>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３．提供ファイル</t>
    <rPh sb="2" eb="4">
      <t>テイキョウ</t>
    </rPh>
    <phoneticPr fontId="1"/>
  </si>
  <si>
    <t>４．動作環境</t>
    <rPh sb="2" eb="4">
      <t>ドウサ</t>
    </rPh>
    <rPh sb="4" eb="6">
      <t>カンキョウ</t>
    </rPh>
    <phoneticPr fontId="1"/>
  </si>
  <si>
    <t>５．免責事項</t>
    <rPh sb="2" eb="6">
      <t>メンセキジコウ</t>
    </rPh>
    <phoneticPr fontId="1"/>
  </si>
  <si>
    <t>６．利用方法</t>
    <rPh sb="2" eb="6">
      <t>リヨウホウホウ</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</si>
  <si>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</si>
  <si>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</si>
  <si>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</si>
  <si>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=&gt;左記入力によりサーバにログイン認証を実施、パスワード未入力のためログインの背景青セル＝０：正常以外の値となります。</t>
    <rPh sb="2" eb="4">
      <t>サキ</t>
    </rPh>
    <rPh sb="4" eb="6">
      <t>ニュウリョク</t>
    </rPh>
    <rPh sb="17" eb="19">
      <t>ニンショウ</t>
    </rPh>
    <rPh sb="20" eb="22">
      <t>ジッシ</t>
    </rPh>
    <rPh sb="28" eb="31">
      <t>ミニュウリョク</t>
    </rPh>
    <rPh sb="39" eb="41">
      <t>ハイケイ</t>
    </rPh>
    <rPh sb="41" eb="42">
      <t>アオ</t>
    </rPh>
    <rPh sb="47" eb="49">
      <t>セイジョウ</t>
    </rPh>
    <rPh sb="49" eb="51">
      <t>イガイ</t>
    </rPh>
    <rPh sb="52" eb="53">
      <t>アタイ</t>
    </rPh>
    <phoneticPr fontId="1"/>
  </si>
  <si>
    <t>=&gt;左記入力によりサーバにログイン認証を実施、正常の場合、ログインの背景青セル＝０：正常となります。</t>
    <rPh sb="2" eb="4">
      <t>サキ</t>
    </rPh>
    <rPh sb="4" eb="6">
      <t>ニュウリョク</t>
    </rPh>
    <rPh sb="17" eb="19">
      <t>ニンショウ</t>
    </rPh>
    <rPh sb="20" eb="22">
      <t>ジッシ</t>
    </rPh>
    <rPh sb="23" eb="25">
      <t>セイジョウ</t>
    </rPh>
    <rPh sb="26" eb="28">
      <t>バアイ</t>
    </rPh>
    <rPh sb="34" eb="36">
      <t>ハイケイ</t>
    </rPh>
    <rPh sb="36" eb="37">
      <t>アオ</t>
    </rPh>
    <rPh sb="42" eb="44">
      <t>セイジョウ</t>
    </rPh>
    <phoneticPr fontId="1"/>
  </si>
  <si>
    <t>背景紫セルに値を入れることで更新を促し関数を実行させると、時価情報をサーバから取得します。</t>
    <phoneticPr fontId="1"/>
  </si>
  <si>
    <t>立花証券株式会社</t>
    <rPh sb="0" eb="4">
      <t>タチバナショウケン</t>
    </rPh>
    <rPh sb="4" eb="6">
      <t>カブシキ</t>
    </rPh>
    <rPh sb="6" eb="8">
      <t>カイシャ</t>
    </rPh>
    <phoneticPr fontId="1"/>
  </si>
  <si>
    <t>ｅ支店・ＡＰＩ</t>
    <rPh sb="0" eb="3">
      <t>エシテン</t>
    </rPh>
    <phoneticPr fontId="1"/>
  </si>
  <si>
    <t>※ザラ場前など値が付かない場合「#VALUE!」表示になります。</t>
    <rPh sb="3" eb="4">
      <t>バ</t>
    </rPh>
    <rPh sb="4" eb="5">
      <t>マエ</t>
    </rPh>
    <rPh sb="7" eb="8">
      <t>ネ</t>
    </rPh>
    <rPh sb="9" eb="10">
      <t>ツ</t>
    </rPh>
    <rPh sb="13" eb="15">
      <t>バアイ</t>
    </rPh>
    <rPh sb="24" eb="26">
      <t>ヒョウジ</t>
    </rPh>
    <phoneticPr fontId="1"/>
  </si>
  <si>
    <t>入力後、時価取得関数が再実行されサーバから値を取得するため、該当処理終了まで制御が戻りません。</t>
    <rPh sb="0" eb="3">
      <t>ニュウリョクゴ</t>
    </rPh>
    <rPh sb="4" eb="6">
      <t>ジカ</t>
    </rPh>
    <rPh sb="6" eb="8">
      <t>シュトク</t>
    </rPh>
    <rPh sb="8" eb="10">
      <t>カンスウ</t>
    </rPh>
    <rPh sb="11" eb="14">
      <t>サイジッコウ</t>
    </rPh>
    <rPh sb="21" eb="22">
      <t>アタイ</t>
    </rPh>
    <rPh sb="23" eb="25">
      <t>シュトク</t>
    </rPh>
    <rPh sb="30" eb="32">
      <t>ガイトウ</t>
    </rPh>
    <rPh sb="32" eb="34">
      <t>ショリ</t>
    </rPh>
    <rPh sb="34" eb="36">
      <t>シュウリョウ</t>
    </rPh>
    <rPh sb="38" eb="40">
      <t>セイギョ</t>
    </rPh>
    <rPh sb="41" eb="42">
      <t>モド</t>
    </rPh>
    <phoneticPr fontId="1"/>
  </si>
  <si>
    <t>・Microsoft XML, v6.0</t>
    <phoneticPr fontId="1"/>
  </si>
  <si>
    <t>・Microsoft Scripting Runtime</t>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</si>
  <si>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</si>
  <si>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ｅ支店・ＡＰＩのＵＲＬ。</t>
    <rPh sb="0" eb="3">
      <t>エシテン</t>
    </rPh>
    <phoneticPr fontId="1"/>
  </si>
  <si>
    <t>サーバへのアクセス（JSON文字列の送受信内容）を VBA のイミディエイトウィンドウに表示します。</t>
    <rPh sb="14" eb="17">
      <t>モジレツ</t>
    </rPh>
    <rPh sb="18" eb="21">
      <t>ソウジュシン</t>
    </rPh>
    <rPh sb="21" eb="23">
      <t>ナイヨウ</t>
    </rPh>
    <rPh sb="44" eb="46">
      <t>ヒョウジ</t>
    </rPh>
    <phoneticPr fontId="1"/>
  </si>
  <si>
    <t>ｅ支店・ＡＰＩの使用方法を具体的に理解できるものと思います。</t>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</si>
  <si>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</si>
  <si>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以下「７．時価情報取得サンプル」を使用し時価を取得します。</t>
    <rPh sb="0" eb="2">
      <t>イカ</t>
    </rPh>
    <rPh sb="5" eb="7">
      <t>ジカ</t>
    </rPh>
    <rPh sb="7" eb="9">
      <t>ジョウホウ</t>
    </rPh>
    <rPh sb="9" eb="11">
      <t>シュトク</t>
    </rPh>
    <rPh sb="17" eb="19">
      <t>シヨウ</t>
    </rPh>
    <rPh sb="20" eb="22">
      <t>ジカ</t>
    </rPh>
    <rPh sb="23" eb="25">
      <t>シュトク</t>
    </rPh>
    <phoneticPr fontId="1"/>
  </si>
  <si>
    <t>７．時価情報取得サンプル</t>
    <rPh sb="2" eb="4">
      <t>ジカ</t>
    </rPh>
    <rPh sb="4" eb="6">
      <t>ジョウホウ</t>
    </rPh>
    <rPh sb="6" eb="8">
      <t>シュトク</t>
    </rPh>
    <phoneticPr fontId="1"/>
  </si>
  <si>
    <r>
      <t>以下に時価情報を取得し一覧表示する簡単な</t>
    </r>
    <r>
      <rPr>
        <b/>
        <sz val="10"/>
        <color theme="1"/>
        <rFont val="游ゴシック"/>
        <family val="3"/>
        <charset val="128"/>
        <scheme val="minor"/>
      </rPr>
      <t>【</t>
    </r>
    <r>
      <rPr>
        <sz val="10"/>
        <color theme="1"/>
        <rFont val="游ゴシック"/>
        <family val="3"/>
        <charset val="128"/>
        <scheme val="minor"/>
      </rPr>
      <t>サンプル表】で使用例を示します。</t>
    </r>
    <rPh sb="0" eb="2">
      <t>イカ</t>
    </rPh>
    <rPh sb="3" eb="5">
      <t>ジカ</t>
    </rPh>
    <rPh sb="5" eb="7">
      <t>ジョウホウ</t>
    </rPh>
    <rPh sb="8" eb="10">
      <t>シュトク</t>
    </rPh>
    <rPh sb="11" eb="13">
      <t>イチラン</t>
    </rPh>
    <rPh sb="13" eb="15">
      <t>ヒョウジ</t>
    </rPh>
    <rPh sb="17" eb="19">
      <t>カンタン</t>
    </rPh>
    <rPh sb="25" eb="26">
      <t>ヒョウ</t>
    </rPh>
    <rPh sb="28" eb="30">
      <t>シヨウ</t>
    </rPh>
    <rPh sb="30" eb="31">
      <t>レイ</t>
    </rPh>
    <rPh sb="31" eb="32">
      <t>ヨウレイ</t>
    </rPh>
    <rPh sb="32" eb="33">
      <t>シメ</t>
    </rPh>
    <phoneticPr fontId="1"/>
  </si>
  <si>
    <t>EXCEL のシートからは関数として簡単に時価情報を取得することが可能です。</t>
    <rPh sb="21" eb="23">
      <t>ジカ</t>
    </rPh>
    <rPh sb="23" eb="25">
      <t>ジョウホウ</t>
    </rPh>
    <rPh sb="26" eb="28">
      <t>シュトク</t>
    </rPh>
    <rPh sb="33" eb="35">
      <t>カノウ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</si>
  <si>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</si>
  <si>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本サンプルはｅ支店・ＡＰＩ の利用方法理解（学習）を主とし作成のため、</t>
    <rPh sb="0" eb="1">
      <t>ホン</t>
    </rPh>
    <rPh sb="15" eb="17">
      <t>リヨウ</t>
    </rPh>
    <rPh sb="17" eb="19">
      <t>ホウホウ</t>
    </rPh>
    <rPh sb="19" eb="21">
      <t>リカイ</t>
    </rPh>
    <rPh sb="22" eb="24">
      <t>ガクシュウ</t>
    </rPh>
    <rPh sb="26" eb="27">
      <t>シュ</t>
    </rPh>
    <rPh sb="29" eb="31">
      <t>サクセイ</t>
    </rPh>
    <phoneticPr fontId="1"/>
  </si>
  <si>
    <t>ｅ支店・ＡＰＩの使用方法としてはあまり良くない（効率的でない冗長な）実装となっております。</t>
  </si>
  <si>
    <t>時価取得関数（ EXCEL 更新処理）を実行するため、１，２などの整数値で毎回異なる値を手動で入力します。</t>
    <rPh sb="0" eb="4">
      <t>ジカシュトク</t>
    </rPh>
    <rPh sb="4" eb="6">
      <t>カンスウ</t>
    </rPh>
    <rPh sb="14" eb="16">
      <t>コウシン</t>
    </rPh>
    <rPh sb="16" eb="18">
      <t>ショリ</t>
    </rPh>
    <rPh sb="20" eb="22">
      <t>ジッコウ</t>
    </rPh>
    <rPh sb="33" eb="35">
      <t>セイスウ</t>
    </rPh>
    <rPh sb="35" eb="36">
      <t>アタイ</t>
    </rPh>
    <rPh sb="37" eb="39">
      <t>マイカイ</t>
    </rPh>
    <rPh sb="39" eb="40">
      <t>コト</t>
    </rPh>
    <rPh sb="42" eb="43">
      <t>アタイ</t>
    </rPh>
    <rPh sb="44" eb="46">
      <t>シュドウ</t>
    </rPh>
    <rPh sb="47" eb="49">
      <t>ニュウリョク</t>
    </rPh>
    <phoneticPr fontId="1"/>
  </si>
  <si>
    <t>８．改定履歴</t>
    <rPh sb="2" eb="4">
      <t>カイテイ</t>
    </rPh>
    <rPh sb="4" eb="6">
      <t>リレキ</t>
    </rPh>
    <phoneticPr fontId="1"/>
  </si>
  <si>
    <t>2021.10.15</t>
    <phoneticPr fontId="1"/>
  </si>
  <si>
    <t>2021.10.11</t>
    <phoneticPr fontId="1"/>
  </si>
  <si>
    <t>JsonConverter (Specs.bas)</t>
    <phoneticPr fontId="1"/>
  </si>
  <si>
    <t>新規作成。</t>
    <rPh sb="0" eb="2">
      <t>シンキ</t>
    </rPh>
    <rPh sb="2" eb="4">
      <t>サクセイ</t>
    </rPh>
    <phoneticPr fontId="1"/>
  </si>
  <si>
    <t>「立花証券・ｅ支店・ＡＰＩ専用ページ」にて公開。</t>
    <rPh sb="1" eb="5">
      <t>タチバナショウケン</t>
    </rPh>
    <rPh sb="6" eb="9">
      <t>エシテン</t>
    </rPh>
    <rPh sb="13" eb="15">
      <t>センヨウ</t>
    </rPh>
    <rPh sb="21" eb="23">
      <t>コウカイ</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</si>
  <si>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</si>
  <si>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※本ファイルは上記設定済ですので、ご利用のPCに本ファイルをダウンロードした上で、ダウンロードしたファイルからEXCELを起動しご利用下さい。</t>
    <rPh sb="1" eb="2">
      <t>ホン</t>
    </rPh>
    <rPh sb="2" eb="3">
      <t>キホン</t>
    </rPh>
    <rPh sb="7" eb="9">
      <t>ジョウキ</t>
    </rPh>
    <rPh sb="9" eb="11">
      <t>セッテイ</t>
    </rPh>
    <rPh sb="11" eb="12">
      <t>スミ</t>
    </rPh>
    <rPh sb="18" eb="20">
      <t>リヨウ</t>
    </rPh>
    <rPh sb="24" eb="25">
      <t>ホン</t>
    </rPh>
    <rPh sb="38" eb="39">
      <t>ウエ</t>
    </rPh>
    <rPh sb="61" eb="63">
      <t>キドウ</t>
    </rPh>
    <rPh sb="65" eb="67">
      <t>リヨウ</t>
    </rPh>
    <rPh sb="67" eb="68">
      <t>クダ</t>
    </rPh>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</si>
  <si>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</si>
  <si>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</si>
  <si>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2022.11.19</t>
    <phoneticPr fontId="1"/>
  </si>
  <si>
    <t>ｅ支店・ＡＰＩ，ｖ４ｒ３ 対応。</t>
    <rPh sb="0" eb="3">
      <t>エシテン</t>
    </rPh>
    <rPh sb="13" eb="15">
      <t>タイオウ</t>
    </rPh>
    <phoneticPr fontId="1"/>
  </si>
  <si>
    <t>立花証券・ｅ支店・ＡＰＩ（ｖ４ｒ９）による時価情報取得サンプル。</t>
    <rPh sb="0" eb="2">
      <t>タチバナ</t>
    </rPh>
    <rPh sb="2" eb="4">
      <t>ショウケン</t>
    </rPh>
    <rPh sb="5" eb="8">
      <t>エシテン</t>
    </rPh>
    <rPh sb="21" eb="25">
      <t>ジカジョウホウ</t>
    </rPh>
    <rPh sb="25" eb="27">
      <t>シュトク</t>
    </rPh>
    <phoneticPr fontId="1"/>
  </si>
  <si>
    <t>ｅ支店・ＡＰＩ，ｖ４ｒ９ 対応。</t>
    <rPh sb="0" eb="3">
      <t>エシテン</t>
    </rPh>
    <rPh sb="13" eb="15">
      <t>タイオウ</t>
    </rPh>
    <phoneticPr fontId="1"/>
  </si>
  <si>
    <t>認証ＩＤ</t>
    <rPh sb="0" eb="2">
      <t>ニンショウ</t>
    </rPh>
    <phoneticPr fontId="1"/>
  </si>
  <si>
    <t>秘密キー</t>
    <rPh sb="0" eb="2">
      <t>ヒミツ</t>
    </rPh>
    <phoneticPr fontId="1"/>
  </si>
  <si>
    <t>ｅ支店・利用設定画面で表示した認証ＩＤを指定します。</t>
    <rPh sb="0" eb="3">
      <t>エシテン</t>
    </rPh>
    <rPh sb="4" eb="6">
      <t>リヨウ</t>
    </rPh>
    <rPh sb="6" eb="8">
      <t>セッテイ</t>
    </rPh>
    <rPh sb="8" eb="10">
      <t>ガメン</t>
    </rPh>
    <rPh sb="11" eb="13">
      <t>ヒョウジ</t>
    </rPh>
    <rPh sb="15" eb="17">
      <t>ニンショウ</t>
    </rPh>
    <rPh sb="20" eb="22">
      <t>シテイ</t>
    </rPh>
    <phoneticPr fontId="1"/>
  </si>
  <si>
    <t>ｅ支店・利用設定画面で登録した共有キーとペアとなる秘密キー（PEM形式）を C:\e_api_openssl\private_key.pem に保存します。</t>
    <rPh sb="0" eb="3">
      <t>エシテン</t>
    </rPh>
    <rPh sb="4" eb="8">
      <t>リヨウセッテイ</t>
    </rPh>
    <rPh sb="8" eb="10">
      <t>ガメン</t>
    </rPh>
    <rPh sb="11" eb="13">
      <t>トウロク</t>
    </rPh>
    <rPh sb="15" eb="17">
      <t>キョウユウ</t>
    </rPh>
    <rPh sb="25" eb="27">
      <t>ヒミツ</t>
    </rPh>
    <rPh sb="33" eb="35">
      <t>ケイシキ</t>
    </rPh>
    <rPh sb="72" eb="74">
      <t>ホゾン</t>
    </rPh>
    <phoneticPr fontId="1"/>
  </si>
  <si>
    <t>e_api (e_api_v4r9.bas)</t>
    <phoneticPr fontId="1"/>
  </si>
  <si>
    <t>e_api_decrypt.csh</t>
    <phoneticPr fontId="1"/>
  </si>
  <si>
    <t>https://www.e-shiten.jp/e_api/e_api_decrypt.csh</t>
    <phoneticPr fontId="1"/>
  </si>
  <si>
    <t>EXCEL VBA では秘密キーによる複合化処理がサポートされていないため、</t>
    <rPh sb="12" eb="14">
      <t>ヒミツ</t>
    </rPh>
    <rPh sb="19" eb="22">
      <t>フクゴウカ</t>
    </rPh>
    <rPh sb="22" eb="24">
      <t>ショリ</t>
    </rPh>
    <phoneticPr fontId="1"/>
  </si>
  <si>
    <t>【注意事項】</t>
    <rPh sb="1" eb="5">
      <t>チュウイジコウ</t>
    </rPh>
    <phoneticPr fontId="1"/>
  </si>
  <si>
    <t>そのため、別途提供するシェルから openssl コマンドを呼出し変換する方法（外部コマンドの実行）で変換するよう対応しています。</t>
    <rPh sb="7" eb="9">
      <t>テイキョウ</t>
    </rPh>
    <rPh sb="33" eb="35">
      <t>ヘンカン</t>
    </rPh>
    <rPh sb="37" eb="39">
      <t>ホウホウ</t>
    </rPh>
    <rPh sb="40" eb="42">
      <t>ガイブ</t>
    </rPh>
    <rPh sb="47" eb="49">
      <t>ジッコウ</t>
    </rPh>
    <rPh sb="51" eb="53">
      <t>ヘンカン</t>
    </rPh>
    <rPh sb="57" eb="59">
      <t>タイオウ</t>
    </rPh>
    <phoneticPr fontId="1"/>
  </si>
  <si>
    <t>シェルは cygwin の tcsh.exe、及び openssl を利用しているため、該当モジュールのインストールが必要となります。</t>
    <rPh sb="23" eb="24">
      <t>オヨ</t>
    </rPh>
    <rPh sb="35" eb="37">
      <t>リヨウ</t>
    </rPh>
    <rPh sb="44" eb="46">
      <t>ガイトウ</t>
    </rPh>
    <rPh sb="59" eb="61">
      <t>ヒツヨウ</t>
    </rPh>
    <phoneticPr fontId="1"/>
  </si>
  <si>
    <t>cygwin のインストールが出来ないなどの場合、利用するシェル等を Windows PowerShell に置き換えるなど</t>
    <rPh sb="15" eb="17">
      <t>デキ</t>
    </rPh>
    <rPh sb="22" eb="24">
      <t>バアイ</t>
    </rPh>
    <rPh sb="25" eb="27">
      <t>リヨウ</t>
    </rPh>
    <rPh sb="32" eb="33">
      <t>トウ</t>
    </rPh>
    <rPh sb="55" eb="56">
      <t>オ</t>
    </rPh>
    <rPh sb="57" eb="58">
      <t>カ</t>
    </rPh>
    <phoneticPr fontId="1"/>
  </si>
  <si>
    <t>必要に応じ該当処理を書き換えてご利用ください。</t>
    <rPh sb="0" eb="2">
      <t>ヒツヨウ</t>
    </rPh>
    <rPh sb="3" eb="4">
      <t>オウ</t>
    </rPh>
    <phoneticPr fontId="1"/>
  </si>
  <si>
    <t>該当処理を行うシェルを以下URLから取得し c:\e_api_openssl に配置しご利用ください。</t>
    <rPh sb="11" eb="13">
      <t>イカ</t>
    </rPh>
    <rPh sb="40" eb="42">
      <t>ハイチ</t>
    </rPh>
    <rPh sb="44" eb="46">
      <t>リヨウ</t>
    </rPh>
    <phoneticPr fontId="1"/>
  </si>
  <si>
    <t>Microsoft Windows11 Professional 64bit 23H2、Microsoft Office Professional Plus 2016.</t>
    <phoneticPr fontId="1"/>
  </si>
  <si>
    <t>v4r9 で採用する公開鍵暗号化処理用関数等が EXCEL（VBA）には用意されていません。</t>
    <rPh sb="6" eb="8">
      <t>サイヨウ</t>
    </rPh>
    <rPh sb="10" eb="12">
      <t>コウカイ</t>
    </rPh>
    <rPh sb="12" eb="13">
      <t>カギ</t>
    </rPh>
    <rPh sb="13" eb="16">
      <t>アンゴウカ</t>
    </rPh>
    <rPh sb="16" eb="18">
      <t>ショリ</t>
    </rPh>
    <rPh sb="18" eb="19">
      <t>ヨウ</t>
    </rPh>
    <rPh sb="19" eb="21">
      <t>カンスウ</t>
    </rPh>
    <rPh sb="21" eb="22">
      <t>トウ</t>
    </rPh>
    <rPh sb="36" eb="38">
      <t>ヨウイ</t>
    </rPh>
    <phoneticPr fontId="1"/>
  </si>
  <si>
    <t>https://demo-kabuka.e-shiten.jp/e_api_v4r9/auth/</t>
    <phoneticPr fontId="1"/>
  </si>
  <si>
    <t>oxoxoxox</t>
    <phoneticPr fontId="1"/>
  </si>
  <si>
    <t>2026.05.16</t>
    <phoneticPr fontId="1"/>
  </si>
  <si>
    <t>また秘密キー（PEM形式）を c:\e_api_openssl\e_api_private_key.pem ファイルに予め配置ください。</t>
    <rPh sb="2" eb="4">
      <t>ヒミツ</t>
    </rPh>
    <rPh sb="10" eb="12">
      <t>ケイシキ</t>
    </rPh>
    <rPh sb="59" eb="60">
      <t>アラカジ</t>
    </rPh>
    <rPh sb="61" eb="63">
      <t>ハイチ</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</si>
</sst>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hh:mm"/>
    <numFmt numFmtId="177" formatCode="#,##0.0_ "/>
  </numFmts>
  <fonts count="4"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theme="1"/>
      <name val="游ゴシック"/>
      <family val="3"/>
      <charset val="128"/>
      <scheme val="minor"/>
    </font>
  </fonts>
  <fills count="6">
    <fill>
      <patternFill patternType="none"/>
    </fill>
    <fill>
      <patternFill patternType="gray125"/>
    </fill>
    <fill>
      <patternFill patternType="solid">
        <fgColor rgb="FFCCFFFF"/>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s>
  <borders count="19">
    <border>
      <left/>
      <right/>
      <top/>
      <bottom/>
      <diagonal/>
    </border>
    <border>
      <left/>
      <right style="thin">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double">
        <color indexed="64"/>
      </bottom>
      <diagonal/>
    </border>
    <border>
      <left/>
      <right style="medium">
        <color indexed="64"/>
      </right>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s>
  <cellStyleXfs count="1">
    <xf numFmtId="0" fontId="0" fillId="0" borderId="0">
      <alignment vertical="center"/>
    </xf>
  </cellStyleXfs>
  <cellXfs count="29">
    <xf numFmtId="0" fontId="0" fillId="0" borderId="0" xfId="0">
      <alignment vertical="center"/>
    </xf>
    <xf numFmtId="0" fontId="2" fillId="0" borderId="0" xfId="0" applyFont="1">
      <alignment vertical="center"/>
    </xf>
    <xf numFmtId="0" fontId="2" fillId="0" borderId="0" xfId="0" quotePrefix="1" applyFont="1">
      <alignment vertical="center"/>
    </xf>
    <xf numFmtId="0" fontId="2" fillId="3" borderId="0" xfId="0" applyFont="1" applyFill="1">
      <alignment vertical="center"/>
    </xf>
    <xf numFmtId="0" fontId="2" fillId="0" borderId="0" xfId="0" applyFont="1" applyFill="1">
      <alignment vertical="center"/>
    </xf>
    <xf numFmtId="0" fontId="2" fillId="2" borderId="0" xfId="0" applyFont="1" applyFill="1">
      <alignment vertical="center"/>
    </xf>
    <xf numFmtId="0" fontId="2" fillId="4" borderId="0" xfId="0" quotePrefix="1" applyFont="1" applyFill="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11" xfId="0" applyFont="1" applyFill="1" applyBorder="1" applyAlignment="1">
      <alignment horizontal="center" vertical="center"/>
    </xf>
    <xf numFmtId="0" fontId="3" fillId="0"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12" xfId="0" applyFont="1" applyFill="1" applyBorder="1" applyAlignment="1">
      <alignment horizontal="center" vertical="center"/>
    </xf>
    <xf numFmtId="0" fontId="2" fillId="0" borderId="13" xfId="0" applyFont="1" applyFill="1" applyBorder="1" applyAlignment="1">
      <alignment horizontal="center" vertical="center"/>
    </xf>
    <xf numFmtId="0" fontId="2" fillId="3" borderId="1" xfId="0" applyFont="1" applyFill="1" applyBorder="1" applyAlignment="1">
      <alignment horizontal="center" vertical="center"/>
    </xf>
    <xf numFmtId="176" fontId="2" fillId="2" borderId="1" xfId="0" applyNumberFormat="1" applyFont="1" applyFill="1" applyBorder="1">
      <alignment vertical="center"/>
    </xf>
    <xf numFmtId="0" fontId="2" fillId="0" borderId="14" xfId="0" applyFont="1" applyFill="1" applyBorder="1" applyAlignment="1">
      <alignment horizontal="center" vertical="center"/>
    </xf>
    <xf numFmtId="0" fontId="2" fillId="3" borderId="15" xfId="0" applyFont="1" applyFill="1" applyBorder="1" applyAlignment="1">
      <alignment horizontal="center" vertical="center"/>
    </xf>
    <xf numFmtId="176" fontId="2" fillId="2" borderId="15" xfId="0" applyNumberFormat="1" applyFont="1" applyFill="1" applyBorder="1">
      <alignment vertical="center"/>
    </xf>
    <xf numFmtId="177" fontId="2" fillId="2" borderId="3" xfId="0" applyNumberFormat="1" applyFont="1" applyFill="1" applyBorder="1">
      <alignment vertical="center"/>
    </xf>
    <xf numFmtId="177" fontId="2" fillId="2" borderId="16" xfId="0" applyNumberFormat="1" applyFont="1" applyFill="1" applyBorder="1">
      <alignment vertical="center"/>
    </xf>
    <xf numFmtId="177" fontId="2" fillId="2" borderId="17" xfId="0" applyNumberFormat="1" applyFont="1" applyFill="1" applyBorder="1">
      <alignment vertical="center"/>
    </xf>
    <xf numFmtId="177" fontId="2" fillId="2" borderId="18" xfId="0" applyNumberFormat="1" applyFont="1" applyFill="1" applyBorder="1">
      <alignment vertical="center"/>
    </xf>
    <xf numFmtId="0" fontId="2" fillId="5" borderId="0" xfId="0" applyFont="1" applyFill="1">
      <alignment vertical="center"/>
    </xf>
    <xf numFmtId="0" fontId="2" fillId="5" borderId="0" xfId="0" quotePrefix="1" applyFont="1" applyFill="1">
      <alignment vertical="center"/>
    </xf>
    <xf numFmtId="0" fontId="3" fillId="0" borderId="6" xfId="0" applyFont="1" applyFill="1" applyBorder="1" applyAlignment="1">
      <alignment horizontal="center" vertical="center"/>
    </xf>
    <xf numFmtId="0" fontId="3" fillId="0" borderId="7"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FFCC"/>
      <color rgb="FFCCCCFF"/>
      <color rgb="FFCCFFFF"/>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742949</xdr:colOff>
      <xdr:row>72</xdr:row>
      <xdr:rowOff>0</xdr:rowOff>
    </xdr:from>
    <xdr:to>
      <xdr:col>9</xdr:col>
      <xdr:colOff>159903</xdr:colOff>
      <xdr:row>84</xdr:row>
      <xdr:rowOff>200025</xdr:rowOff>
    </xdr:to>
    <xdr:sp macro="" textlink="">
      <xdr:nvSpPr>
        <xdr:cNvPr id="2" name="フリーフォーム: 図形 1">
          <a:extLst>
            <a:ext uri="{FF2B5EF4-FFF2-40B4-BE49-F238E27FC236}">
              <a16:creationId xmlns:a16="http://schemas.microsoft.com/office/drawing/2014/main" id="{5225EC1A-EDE7-455A-9761-279893CCBCF5}"/>
            </a:ext>
          </a:extLst>
        </xdr:cNvPr>
        <xdr:cNvSpPr/>
      </xdr:nvSpPr>
      <xdr:spPr>
        <a:xfrm>
          <a:off x="2057399" y="12573000"/>
          <a:ext cx="4455679" cy="2295525"/>
        </a:xfrm>
        <a:custGeom>
          <a:avLst/>
          <a:gdLst>
            <a:gd name="connsiteX0" fmla="*/ 4743450 w 4846204"/>
            <a:gd name="connsiteY0" fmla="*/ 0 h 1943100"/>
            <a:gd name="connsiteX1" fmla="*/ 4819650 w 4846204"/>
            <a:gd name="connsiteY1" fmla="*/ 685800 h 1943100"/>
            <a:gd name="connsiteX2" fmla="*/ 4343400 w 4846204"/>
            <a:gd name="connsiteY2" fmla="*/ 1390650 h 1943100"/>
            <a:gd name="connsiteX3" fmla="*/ 3124200 w 4846204"/>
            <a:gd name="connsiteY3" fmla="*/ 1390650 h 1943100"/>
            <a:gd name="connsiteX4" fmla="*/ 1047750 w 4846204"/>
            <a:gd name="connsiteY4" fmla="*/ 1352550 h 1943100"/>
            <a:gd name="connsiteX5" fmla="*/ 0 w 4846204"/>
            <a:gd name="connsiteY5" fmla="*/ 1943100 h 1943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846204" h="1943100">
              <a:moveTo>
                <a:pt x="4743450" y="0"/>
              </a:moveTo>
              <a:cubicBezTo>
                <a:pt x="4814887" y="227012"/>
                <a:pt x="4886325" y="454025"/>
                <a:pt x="4819650" y="685800"/>
              </a:cubicBezTo>
              <a:cubicBezTo>
                <a:pt x="4752975" y="917575"/>
                <a:pt x="4625975" y="1273175"/>
                <a:pt x="4343400" y="1390650"/>
              </a:cubicBezTo>
              <a:cubicBezTo>
                <a:pt x="4060825" y="1508125"/>
                <a:pt x="3124200" y="1390650"/>
                <a:pt x="3124200" y="1390650"/>
              </a:cubicBezTo>
              <a:cubicBezTo>
                <a:pt x="2574925" y="1384300"/>
                <a:pt x="1568450" y="1260475"/>
                <a:pt x="1047750" y="1352550"/>
              </a:cubicBezTo>
              <a:cubicBezTo>
                <a:pt x="527050" y="1444625"/>
                <a:pt x="263525" y="1693862"/>
                <a:pt x="0" y="1943100"/>
              </a:cubicBezTo>
            </a:path>
          </a:pathLst>
        </a:custGeom>
        <a:noFill/>
        <a:ln w="19050">
          <a:solidFill>
            <a:srgbClr val="00B0F0"/>
          </a:solidFill>
          <a:prstDash val="sysDash"/>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866776</xdr:colOff>
      <xdr:row>76</xdr:row>
      <xdr:rowOff>104775</xdr:rowOff>
    </xdr:from>
    <xdr:to>
      <xdr:col>2</xdr:col>
      <xdr:colOff>1</xdr:colOff>
      <xdr:row>86</xdr:row>
      <xdr:rowOff>85725</xdr:rowOff>
    </xdr:to>
    <xdr:sp macro="" textlink="">
      <xdr:nvSpPr>
        <xdr:cNvPr id="3" name="フリーフォーム: 図形 2">
          <a:extLst>
            <a:ext uri="{FF2B5EF4-FFF2-40B4-BE49-F238E27FC236}">
              <a16:creationId xmlns:a16="http://schemas.microsoft.com/office/drawing/2014/main" id="{A8D473A0-1831-44CD-A204-ECEC1B94108B}"/>
            </a:ext>
          </a:extLst>
        </xdr:cNvPr>
        <xdr:cNvSpPr/>
      </xdr:nvSpPr>
      <xdr:spPr>
        <a:xfrm>
          <a:off x="1219201" y="12887325"/>
          <a:ext cx="95250" cy="1238250"/>
        </a:xfrm>
        <a:custGeom>
          <a:avLst/>
          <a:gdLst>
            <a:gd name="connsiteX0" fmla="*/ 199822 w 201765"/>
            <a:gd name="connsiteY0" fmla="*/ 0 h 1333500"/>
            <a:gd name="connsiteX1" fmla="*/ 28372 w 201765"/>
            <a:gd name="connsiteY1" fmla="*/ 476250 h 1333500"/>
            <a:gd name="connsiteX2" fmla="*/ 9322 w 201765"/>
            <a:gd name="connsiteY2" fmla="*/ 876300 h 1333500"/>
            <a:gd name="connsiteX3" fmla="*/ 123622 w 201765"/>
            <a:gd name="connsiteY3" fmla="*/ 1257300 h 1333500"/>
            <a:gd name="connsiteX4" fmla="*/ 199822 w 201765"/>
            <a:gd name="connsiteY4" fmla="*/ 1314450 h 1333500"/>
            <a:gd name="connsiteX5" fmla="*/ 180772 w 201765"/>
            <a:gd name="connsiteY5" fmla="*/ 1314450 h 1333500"/>
            <a:gd name="connsiteX6" fmla="*/ 199822 w 201765"/>
            <a:gd name="connsiteY6" fmla="*/ 1333500 h 1333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1765" h="1333500">
              <a:moveTo>
                <a:pt x="199822" y="0"/>
              </a:moveTo>
              <a:cubicBezTo>
                <a:pt x="129972" y="165100"/>
                <a:pt x="60122" y="330200"/>
                <a:pt x="28372" y="476250"/>
              </a:cubicBezTo>
              <a:cubicBezTo>
                <a:pt x="-3378" y="622300"/>
                <a:pt x="-6553" y="746125"/>
                <a:pt x="9322" y="876300"/>
              </a:cubicBezTo>
              <a:cubicBezTo>
                <a:pt x="25197" y="1006475"/>
                <a:pt x="91872" y="1184275"/>
                <a:pt x="123622" y="1257300"/>
              </a:cubicBezTo>
              <a:cubicBezTo>
                <a:pt x="155372" y="1330325"/>
                <a:pt x="199822" y="1314450"/>
                <a:pt x="199822" y="1314450"/>
              </a:cubicBezTo>
              <a:cubicBezTo>
                <a:pt x="209347" y="1323975"/>
                <a:pt x="180772" y="1314450"/>
                <a:pt x="180772" y="1314450"/>
              </a:cubicBezTo>
              <a:cubicBezTo>
                <a:pt x="180772" y="1317625"/>
                <a:pt x="190297" y="1325562"/>
                <a:pt x="199822" y="1333500"/>
              </a:cubicBezTo>
            </a:path>
          </a:pathLst>
        </a:custGeom>
        <a:noFill/>
        <a:ln w="19050">
          <a:solidFill>
            <a:srgbClr val="7030A0"/>
          </a:solidFill>
          <a:prstDash val="sysDash"/>
          <a:headEnd type="none"/>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115"/>
  <sheetViews>
    <sheetView tabSelected="1" zoomScaleNormal="100" workbookViewId="0"/>
  </sheetViews>
  <sheetFormatPr defaultRowHeight="16.5" x14ac:dyDescent="0.4"/>
  <cols>
    <col min="1" max="1" width="4.625" style="1" customWidth="1"/>
    <col min="2" max="2" width="12.625" style="1" customWidth="1"/>
    <col min="3" max="3" width="11" style="1" bestFit="1" customWidth="1"/>
    <col min="4" max="6" width="9.375" style="1" bestFit="1" customWidth="1"/>
    <col min="7" max="10" width="9" style="1"/>
    <col min="11" max="11" width="9.375" style="1" bestFit="1" customWidth="1"/>
    <col min="12" max="16384" width="9" style="1"/>
  </cols>
  <sheetData>
    <row r="1" spans="1:12" x14ac:dyDescent="0.4">
      <c r="A1" s="1" t="s">
        <v>107</v>
      </c>
      <c r="J1" s="1" t="s">
        <v>23</v>
      </c>
      <c r="K1" s="2" t="s">
        <v>25</v>
      </c>
      <c r="L1" s="1" t="s">
        <v>76</v>
      </c>
    </row>
    <row r="2" spans="1:12" x14ac:dyDescent="0.4">
      <c r="J2" s="1" t="s">
        <v>24</v>
      </c>
      <c r="K2" s="26" t="s">
        <v>127</v>
      </c>
      <c r="L2" s="1" t="s">
        <v>76</v>
      </c>
    </row>
    <row r="3" spans="1:12" x14ac:dyDescent="0.4">
      <c r="A3" s="1" t="s">
        <v>28</v>
      </c>
      <c r="K3" s="2"/>
    </row>
    <row r="4" spans="1:12" x14ac:dyDescent="0.4">
      <c r="B4" s="1" t="s">
        <v>44</v>
      </c>
      <c r="K4" s="2"/>
    </row>
    <row r="5" spans="1:12" x14ac:dyDescent="0.4">
      <c r="B5" s="1" t="s">
        <v>59</v>
      </c>
      <c r="K5" s="2"/>
    </row>
    <row r="6" spans="1:12" x14ac:dyDescent="0.4">
      <c r="B6" s="1" t="s">
        <v>31</v>
      </c>
      <c r="K6" s="2"/>
    </row>
    <row r="7" spans="1:12" x14ac:dyDescent="0.4">
      <c r="K7" s="2"/>
    </row>
    <row r="8" spans="1:12" x14ac:dyDescent="0.4">
      <c r="B8" s="1" t="s">
        <v>30</v>
      </c>
      <c r="K8" s="2"/>
    </row>
    <row r="9" spans="1:12" x14ac:dyDescent="0.4">
      <c r="B9" s="1" t="s">
        <v>90</v>
      </c>
      <c r="K9" s="2"/>
    </row>
    <row r="10" spans="1:12" x14ac:dyDescent="0.4">
      <c r="K10" s="2"/>
    </row>
    <row r="11" spans="1:12" x14ac:dyDescent="0.4">
      <c r="K11" s="2"/>
    </row>
    <row r="12" spans="1:12" x14ac:dyDescent="0.4">
      <c r="A12" s="1" t="s">
        <v>29</v>
      </c>
      <c r="K12" s="2"/>
    </row>
    <row r="13" spans="1:12" x14ac:dyDescent="0.4">
      <c r="B13" s="25" t="s">
        <v>32</v>
      </c>
      <c r="C13" s="25"/>
      <c r="D13" s="25"/>
      <c r="E13" s="25"/>
      <c r="F13" s="25"/>
      <c r="G13" s="25"/>
      <c r="H13" s="25"/>
      <c r="I13" s="25"/>
      <c r="J13" s="25"/>
      <c r="K13" s="26"/>
      <c r="L13" s="25"/>
    </row>
    <row r="14" spans="1:12" x14ac:dyDescent="0.4">
      <c r="B14" s="25" t="s">
        <v>86</v>
      </c>
      <c r="C14" s="25"/>
      <c r="D14" s="25"/>
      <c r="E14" s="25"/>
      <c r="F14" s="25"/>
      <c r="G14" s="25"/>
      <c r="H14" s="25"/>
      <c r="I14" s="25"/>
      <c r="J14" s="25"/>
      <c r="K14" s="26"/>
      <c r="L14" s="25"/>
    </row>
    <row r="15" spans="1:12" x14ac:dyDescent="0.4">
      <c r="B15" s="25"/>
      <c r="C15" s="25"/>
      <c r="D15" s="25"/>
      <c r="E15" s="25"/>
      <c r="F15" s="25"/>
      <c r="G15" s="25"/>
      <c r="H15" s="25"/>
      <c r="I15" s="25"/>
      <c r="J15" s="25"/>
      <c r="K15" s="26"/>
      <c r="L15" s="25"/>
    </row>
    <row r="16" spans="1:12" x14ac:dyDescent="0.4">
      <c r="B16" s="25" t="s">
        <v>117</v>
      </c>
      <c r="C16" s="25"/>
      <c r="D16" s="25"/>
      <c r="E16" s="25"/>
      <c r="F16" s="25"/>
      <c r="G16" s="25"/>
      <c r="H16" s="25"/>
      <c r="I16" s="25"/>
      <c r="J16" s="25"/>
      <c r="K16" s="26"/>
      <c r="L16" s="25"/>
    </row>
    <row r="17" spans="1:13" x14ac:dyDescent="0.4">
      <c r="B17" s="25" t="s">
        <v>124</v>
      </c>
      <c r="C17" s="25"/>
      <c r="D17" s="25"/>
      <c r="E17" s="25"/>
      <c r="F17" s="25"/>
      <c r="G17" s="25"/>
      <c r="H17" s="25"/>
      <c r="I17" s="25"/>
      <c r="J17" s="25"/>
      <c r="K17" s="26"/>
      <c r="L17" s="25"/>
    </row>
    <row r="18" spans="1:13" x14ac:dyDescent="0.4">
      <c r="B18" s="25" t="s">
        <v>118</v>
      </c>
      <c r="C18" s="25"/>
      <c r="D18" s="25"/>
      <c r="E18" s="25"/>
      <c r="F18" s="25"/>
      <c r="G18" s="25"/>
      <c r="H18" s="25"/>
      <c r="I18" s="25"/>
      <c r="J18" s="25"/>
      <c r="K18" s="26"/>
      <c r="L18" s="25"/>
    </row>
    <row r="19" spans="1:13" x14ac:dyDescent="0.4">
      <c r="B19" s="25" t="s">
        <v>119</v>
      </c>
      <c r="C19" s="25"/>
      <c r="D19" s="25"/>
      <c r="E19" s="25"/>
      <c r="F19" s="25"/>
      <c r="G19" s="25"/>
      <c r="H19" s="25"/>
      <c r="I19" s="25"/>
      <c r="J19" s="25"/>
      <c r="K19" s="26"/>
      <c r="L19" s="25"/>
    </row>
    <row r="20" spans="1:13" x14ac:dyDescent="0.4">
      <c r="B20" s="25" t="s">
        <v>120</v>
      </c>
      <c r="C20" s="25"/>
      <c r="D20" s="25"/>
      <c r="E20" s="25"/>
      <c r="F20" s="25"/>
      <c r="G20" s="25"/>
      <c r="H20" s="25"/>
      <c r="I20" s="25"/>
      <c r="J20" s="25"/>
      <c r="K20" s="26"/>
      <c r="L20" s="25"/>
    </row>
    <row r="21" spans="1:13" x14ac:dyDescent="0.4">
      <c r="B21" s="25" t="s">
        <v>121</v>
      </c>
      <c r="C21" s="25"/>
      <c r="D21" s="25"/>
      <c r="E21" s="25"/>
      <c r="F21" s="25"/>
      <c r="G21" s="25"/>
      <c r="H21" s="25"/>
      <c r="I21" s="25"/>
      <c r="J21" s="25"/>
      <c r="K21" s="26"/>
      <c r="L21" s="25"/>
    </row>
    <row r="22" spans="1:13" x14ac:dyDescent="0.4">
      <c r="K22" s="2"/>
    </row>
    <row r="23" spans="1:13" x14ac:dyDescent="0.4">
      <c r="K23" s="2"/>
    </row>
    <row r="24" spans="1:13" x14ac:dyDescent="0.4">
      <c r="A24" s="1" t="s">
        <v>66</v>
      </c>
      <c r="K24" s="2"/>
    </row>
    <row r="25" spans="1:13" x14ac:dyDescent="0.4">
      <c r="A25" s="1">
        <v>1</v>
      </c>
      <c r="B25" s="1" t="s">
        <v>34</v>
      </c>
      <c r="D25" s="1" t="s">
        <v>35</v>
      </c>
      <c r="E25" s="1" t="s">
        <v>37</v>
      </c>
      <c r="K25" s="2"/>
    </row>
    <row r="26" spans="1:13" x14ac:dyDescent="0.4">
      <c r="A26" s="1">
        <v>2</v>
      </c>
      <c r="B26" s="1" t="s">
        <v>113</v>
      </c>
      <c r="D26" s="1" t="s">
        <v>35</v>
      </c>
      <c r="E26" s="1" t="s">
        <v>36</v>
      </c>
      <c r="K26" s="2"/>
    </row>
    <row r="27" spans="1:13" x14ac:dyDescent="0.4">
      <c r="A27" s="1">
        <v>3</v>
      </c>
      <c r="B27" s="1" t="s">
        <v>98</v>
      </c>
      <c r="D27" s="1" t="s">
        <v>35</v>
      </c>
      <c r="E27" s="1" t="s">
        <v>47</v>
      </c>
      <c r="K27" s="2"/>
    </row>
    <row r="28" spans="1:13" x14ac:dyDescent="0.4">
      <c r="A28" s="25">
        <v>4</v>
      </c>
      <c r="B28" s="25" t="s">
        <v>114</v>
      </c>
      <c r="C28" s="25"/>
      <c r="D28" s="25" t="s">
        <v>35</v>
      </c>
      <c r="E28" s="25" t="s">
        <v>116</v>
      </c>
      <c r="F28" s="25"/>
      <c r="G28" s="25"/>
      <c r="H28" s="25"/>
      <c r="I28" s="25"/>
      <c r="J28" s="25"/>
      <c r="K28" s="26"/>
      <c r="L28" s="25"/>
      <c r="M28" s="25"/>
    </row>
    <row r="29" spans="1:13" x14ac:dyDescent="0.4">
      <c r="A29" s="25"/>
      <c r="B29" s="25"/>
      <c r="C29" s="25"/>
      <c r="D29" s="25"/>
      <c r="E29" s="25" t="s">
        <v>122</v>
      </c>
      <c r="F29" s="25"/>
      <c r="G29" s="25"/>
      <c r="H29" s="25"/>
      <c r="I29" s="25"/>
      <c r="J29" s="25"/>
      <c r="K29" s="26"/>
      <c r="L29" s="25"/>
      <c r="M29" s="25"/>
    </row>
    <row r="30" spans="1:13" x14ac:dyDescent="0.4">
      <c r="A30" s="25"/>
      <c r="B30" s="25"/>
      <c r="C30" s="25"/>
      <c r="D30" s="25"/>
      <c r="E30" s="25" t="s">
        <v>115</v>
      </c>
      <c r="F30" s="25"/>
      <c r="G30" s="25"/>
      <c r="H30" s="25"/>
      <c r="I30" s="25"/>
      <c r="J30" s="25"/>
      <c r="K30" s="26"/>
      <c r="L30" s="25"/>
      <c r="M30" s="25"/>
    </row>
    <row r="31" spans="1:13" x14ac:dyDescent="0.4">
      <c r="A31" s="25"/>
      <c r="B31" s="25"/>
      <c r="C31" s="25"/>
      <c r="D31" s="25"/>
      <c r="E31" s="25" t="s">
        <v>128</v>
      </c>
      <c r="F31" s="25"/>
      <c r="G31" s="25"/>
      <c r="H31" s="25"/>
      <c r="I31" s="25"/>
      <c r="J31" s="25"/>
      <c r="K31" s="26"/>
      <c r="L31" s="25"/>
      <c r="M31" s="25"/>
    </row>
    <row r="32" spans="1:13" x14ac:dyDescent="0.4">
      <c r="K32" s="2"/>
    </row>
    <row r="33" spans="1:11" x14ac:dyDescent="0.4">
      <c r="A33" s="1" t="s">
        <v>67</v>
      </c>
      <c r="K33" s="2"/>
    </row>
    <row r="34" spans="1:11" x14ac:dyDescent="0.4">
      <c r="B34" s="1" t="s">
        <v>60</v>
      </c>
      <c r="K34" s="2"/>
    </row>
    <row r="35" spans="1:11" x14ac:dyDescent="0.4">
      <c r="B35" s="1" t="s">
        <v>123</v>
      </c>
      <c r="K35" s="2"/>
    </row>
    <row r="36" spans="1:11" x14ac:dyDescent="0.4">
      <c r="K36" s="2"/>
    </row>
    <row r="37" spans="1:11" x14ac:dyDescent="0.4">
      <c r="K37" s="2"/>
    </row>
    <row r="38" spans="1:11" x14ac:dyDescent="0.4">
      <c r="A38" s="1" t="s">
        <v>68</v>
      </c>
      <c r="K38" s="2"/>
    </row>
    <row r="39" spans="1:11" x14ac:dyDescent="0.4">
      <c r="A39" s="1">
        <v>1</v>
      </c>
      <c r="B39" s="1" t="s">
        <v>91</v>
      </c>
      <c r="K39" s="2"/>
    </row>
    <row r="40" spans="1:11" x14ac:dyDescent="0.4">
      <c r="A40" s="1">
        <v>2</v>
      </c>
      <c r="B40" s="1" t="s">
        <v>92</v>
      </c>
      <c r="K40" s="2"/>
    </row>
    <row r="41" spans="1:11" x14ac:dyDescent="0.4">
      <c r="B41" s="1" t="s">
        <v>93</v>
      </c>
      <c r="K41" s="2"/>
    </row>
    <row r="42" spans="1:11" x14ac:dyDescent="0.4">
      <c r="B42" s="1" t="s">
        <v>45</v>
      </c>
      <c r="K42" s="2"/>
    </row>
    <row r="43" spans="1:11" x14ac:dyDescent="0.4">
      <c r="B43" s="1" t="s">
        <v>33</v>
      </c>
      <c r="K43" s="2"/>
    </row>
    <row r="44" spans="1:11" x14ac:dyDescent="0.4">
      <c r="A44" s="1">
        <v>3</v>
      </c>
      <c r="B44" s="1" t="s">
        <v>46</v>
      </c>
      <c r="K44" s="2"/>
    </row>
    <row r="45" spans="1:11" x14ac:dyDescent="0.4">
      <c r="A45" s="1">
        <v>4</v>
      </c>
      <c r="B45" s="1" t="s">
        <v>57</v>
      </c>
      <c r="K45" s="2"/>
    </row>
    <row r="46" spans="1:11" x14ac:dyDescent="0.4">
      <c r="A46" s="1">
        <v>5</v>
      </c>
      <c r="B46" s="1" t="s">
        <v>63</v>
      </c>
      <c r="K46" s="2"/>
    </row>
    <row r="47" spans="1:11" x14ac:dyDescent="0.4">
      <c r="B47" s="1" t="s">
        <v>62</v>
      </c>
      <c r="K47" s="2"/>
    </row>
    <row r="48" spans="1:11" x14ac:dyDescent="0.4">
      <c r="A48" s="1">
        <v>6</v>
      </c>
      <c r="B48" s="1" t="s">
        <v>70</v>
      </c>
      <c r="K48" s="2"/>
    </row>
    <row r="49" spans="1:11" x14ac:dyDescent="0.4">
      <c r="B49" s="1" t="s">
        <v>64</v>
      </c>
      <c r="K49" s="2"/>
    </row>
    <row r="50" spans="1:11" x14ac:dyDescent="0.4">
      <c r="B50" s="1" t="s">
        <v>71</v>
      </c>
      <c r="K50" s="2"/>
    </row>
    <row r="51" spans="1:11" x14ac:dyDescent="0.4">
      <c r="A51" s="1">
        <v>7</v>
      </c>
      <c r="B51" s="1" t="s">
        <v>58</v>
      </c>
      <c r="K51" s="2"/>
    </row>
    <row r="52" spans="1:11" x14ac:dyDescent="0.4">
      <c r="A52" s="1">
        <v>8</v>
      </c>
      <c r="B52" s="1" t="s">
        <v>61</v>
      </c>
      <c r="K52" s="2"/>
    </row>
    <row r="53" spans="1:11" x14ac:dyDescent="0.4">
      <c r="A53" s="1">
        <v>9</v>
      </c>
      <c r="B53" s="1" t="s">
        <v>104</v>
      </c>
      <c r="K53" s="2"/>
    </row>
    <row r="54" spans="1:11" x14ac:dyDescent="0.4">
      <c r="B54" s="1" t="s">
        <v>101</v>
      </c>
      <c r="K54" s="2"/>
    </row>
    <row r="55" spans="1:11" x14ac:dyDescent="0.4">
      <c r="B55" s="1" t="s">
        <v>65</v>
      </c>
      <c r="K55" s="2"/>
    </row>
    <row r="56" spans="1:11" x14ac:dyDescent="0.4">
      <c r="K56" s="2"/>
    </row>
    <row r="57" spans="1:11" x14ac:dyDescent="0.4">
      <c r="K57" s="2"/>
    </row>
    <row r="58" spans="1:11" x14ac:dyDescent="0.4">
      <c r="A58" s="2" t="s">
        <v>69</v>
      </c>
      <c r="K58" s="2"/>
    </row>
    <row r="59" spans="1:11" x14ac:dyDescent="0.4">
      <c r="A59" s="1">
        <v>1</v>
      </c>
      <c r="B59" s="1" t="s">
        <v>41</v>
      </c>
      <c r="K59" s="2"/>
    </row>
    <row r="60" spans="1:11" x14ac:dyDescent="0.4">
      <c r="A60" s="1">
        <v>2</v>
      </c>
      <c r="B60" s="1" t="s">
        <v>72</v>
      </c>
      <c r="K60" s="2"/>
    </row>
    <row r="61" spans="1:11" x14ac:dyDescent="0.4">
      <c r="A61" s="1">
        <v>3</v>
      </c>
      <c r="B61" s="1" t="s">
        <v>82</v>
      </c>
      <c r="K61" s="2"/>
    </row>
    <row r="62" spans="1:11" x14ac:dyDescent="0.4">
      <c r="B62" s="1" t="s">
        <v>80</v>
      </c>
      <c r="K62" s="2"/>
    </row>
    <row r="63" spans="1:11" x14ac:dyDescent="0.4">
      <c r="B63" s="1" t="s">
        <v>81</v>
      </c>
      <c r="K63" s="2"/>
    </row>
    <row r="64" spans="1:11" x14ac:dyDescent="0.4">
      <c r="A64" s="1">
        <v>4</v>
      </c>
      <c r="B64" s="1" t="s">
        <v>87</v>
      </c>
      <c r="K64" s="2"/>
    </row>
    <row r="65" spans="1:11" x14ac:dyDescent="0.4">
      <c r="B65" s="1" t="s">
        <v>102</v>
      </c>
      <c r="K65" s="2"/>
    </row>
    <row r="66" spans="1:11" x14ac:dyDescent="0.4">
      <c r="B66" s="1" t="s">
        <v>103</v>
      </c>
      <c r="K66" s="2"/>
    </row>
    <row r="67" spans="1:11" x14ac:dyDescent="0.4">
      <c r="K67" s="2"/>
    </row>
    <row r="68" spans="1:11" x14ac:dyDescent="0.4">
      <c r="A68" s="1" t="s">
        <v>88</v>
      </c>
      <c r="K68" s="2"/>
    </row>
    <row r="69" spans="1:11" x14ac:dyDescent="0.4">
      <c r="B69" s="1" t="s">
        <v>89</v>
      </c>
      <c r="K69" s="2"/>
    </row>
    <row r="70" spans="1:11" x14ac:dyDescent="0.4">
      <c r="B70" s="1" t="s">
        <v>38</v>
      </c>
      <c r="K70" s="2"/>
    </row>
    <row r="71" spans="1:11" x14ac:dyDescent="0.4">
      <c r="B71" s="1">
        <v>1</v>
      </c>
      <c r="C71" s="1" t="s">
        <v>39</v>
      </c>
      <c r="K71" s="2"/>
    </row>
    <row r="72" spans="1:11" x14ac:dyDescent="0.4">
      <c r="C72" s="2" t="s">
        <v>73</v>
      </c>
      <c r="I72" s="2"/>
      <c r="K72" s="2"/>
    </row>
    <row r="73" spans="1:11" x14ac:dyDescent="0.4">
      <c r="B73" s="1">
        <v>2</v>
      </c>
      <c r="C73" s="1" t="s">
        <v>40</v>
      </c>
      <c r="K73" s="2"/>
    </row>
    <row r="74" spans="1:11" x14ac:dyDescent="0.4">
      <c r="C74" s="2" t="s">
        <v>74</v>
      </c>
      <c r="I74" s="2"/>
      <c r="K74" s="2"/>
    </row>
    <row r="75" spans="1:11" x14ac:dyDescent="0.4">
      <c r="C75" s="2" t="s">
        <v>48</v>
      </c>
      <c r="K75" s="2"/>
    </row>
    <row r="76" spans="1:11" x14ac:dyDescent="0.4">
      <c r="B76" s="1">
        <v>3</v>
      </c>
      <c r="C76" s="1" t="s">
        <v>49</v>
      </c>
      <c r="K76" s="2"/>
    </row>
    <row r="77" spans="1:11" x14ac:dyDescent="0.4">
      <c r="C77" s="1" t="s">
        <v>75</v>
      </c>
      <c r="K77" s="2"/>
    </row>
    <row r="78" spans="1:11" x14ac:dyDescent="0.4">
      <c r="C78" s="1" t="s">
        <v>52</v>
      </c>
      <c r="K78" s="2"/>
    </row>
    <row r="79" spans="1:11" x14ac:dyDescent="0.4">
      <c r="C79" s="1" t="s">
        <v>78</v>
      </c>
      <c r="K79" s="2"/>
    </row>
    <row r="80" spans="1:11" x14ac:dyDescent="0.4">
      <c r="B80" s="1">
        <v>4</v>
      </c>
      <c r="C80" s="1" t="s">
        <v>84</v>
      </c>
      <c r="K80" s="2"/>
    </row>
    <row r="81" spans="2:11" x14ac:dyDescent="0.4">
      <c r="C81" s="1" t="s">
        <v>85</v>
      </c>
      <c r="K81" s="2"/>
    </row>
    <row r="82" spans="2:11" x14ac:dyDescent="0.4">
      <c r="K82" s="2"/>
    </row>
    <row r="83" spans="2:11" x14ac:dyDescent="0.4">
      <c r="B83" s="1" t="s">
        <v>77</v>
      </c>
      <c r="C83" s="3" t="s">
        <v>125</v>
      </c>
      <c r="D83" s="3"/>
      <c r="E83" s="3"/>
      <c r="F83" s="3"/>
      <c r="G83" s="1" t="s">
        <v>21</v>
      </c>
      <c r="H83" s="1" t="s">
        <v>83</v>
      </c>
      <c r="K83" s="2"/>
    </row>
    <row r="84" spans="2:11" x14ac:dyDescent="0.4">
      <c r="B84" s="1" t="s">
        <v>109</v>
      </c>
      <c r="C84" s="3" t="s">
        <v>126</v>
      </c>
      <c r="D84" s="1" t="s">
        <v>21</v>
      </c>
      <c r="E84" s="1" t="s">
        <v>111</v>
      </c>
    </row>
    <row r="85" spans="2:11" x14ac:dyDescent="0.4">
      <c r="B85" s="1" t="s">
        <v>110</v>
      </c>
      <c r="C85" s="1" t="s">
        <v>21</v>
      </c>
      <c r="D85" s="1" t="s">
        <v>21</v>
      </c>
      <c r="E85" s="1" t="s">
        <v>112</v>
      </c>
    </row>
    <row r="86" spans="2:11" x14ac:dyDescent="0.4">
      <c r="B86" s="4" t="s">
        <v>0</v>
      </c>
      <c r="C86" s="5" t="e">
        <f>e_api_login(C83,C84)+C87-C87</f>
        <v>#VALUE!</v>
      </c>
      <c r="D86" s="1" t="s">
        <v>21</v>
      </c>
      <c r="E86" s="1" t="s">
        <v>50</v>
      </c>
    </row>
    <row r="87" spans="2:11" x14ac:dyDescent="0.4">
      <c r="B87" s="1" t="s">
        <v>22</v>
      </c>
      <c r="C87" s="6">
        <v>1</v>
      </c>
      <c r="D87" s="1" t="s">
        <v>21</v>
      </c>
      <c r="E87" s="1" t="s">
        <v>94</v>
      </c>
    </row>
    <row r="88" spans="2:11" x14ac:dyDescent="0.4">
      <c r="E88" s="1" t="s">
        <v>79</v>
      </c>
    </row>
    <row r="89" spans="2:11" x14ac:dyDescent="0.4">
      <c r="E89" s="1" t="s">
        <v>51</v>
      </c>
    </row>
    <row r="90" spans="2:11" x14ac:dyDescent="0.4">
      <c r="G90" s="2"/>
    </row>
    <row r="91" spans="2:11" ht="17.25" thickBot="1" x14ac:dyDescent="0.45">
      <c r="B91" s="1" t="s">
        <v>42</v>
      </c>
      <c r="G91" s="2"/>
    </row>
    <row r="92" spans="2:11" x14ac:dyDescent="0.4">
      <c r="B92" s="27" t="s">
        <v>13</v>
      </c>
      <c r="C92" s="28"/>
      <c r="D92" s="7" t="s">
        <v>1</v>
      </c>
      <c r="E92" s="8" t="s">
        <v>2</v>
      </c>
      <c r="F92" s="8" t="s">
        <v>4</v>
      </c>
      <c r="G92" s="8" t="s">
        <v>3</v>
      </c>
      <c r="H92" s="8" t="s">
        <v>5</v>
      </c>
      <c r="I92" s="9" t="s">
        <v>6</v>
      </c>
    </row>
    <row r="93" spans="2:11" ht="17.25" thickBot="1" x14ac:dyDescent="0.45">
      <c r="B93" s="10" t="s">
        <v>20</v>
      </c>
      <c r="C93" s="11" t="s">
        <v>19</v>
      </c>
      <c r="D93" s="12" t="s">
        <v>7</v>
      </c>
      <c r="E93" s="13" t="s">
        <v>8</v>
      </c>
      <c r="F93" s="13" t="s">
        <v>9</v>
      </c>
      <c r="G93" s="13" t="s">
        <v>10</v>
      </c>
      <c r="H93" s="13" t="s">
        <v>11</v>
      </c>
      <c r="I93" s="14" t="s">
        <v>12</v>
      </c>
    </row>
    <row r="94" spans="2:11" ht="17.25" thickTop="1" x14ac:dyDescent="0.4">
      <c r="B94" s="15" t="s">
        <v>16</v>
      </c>
      <c r="C94" s="16">
        <v>8411</v>
      </c>
      <c r="D94" s="21" t="e">
        <f>e_api_feedget($C94,D$93)+$C$87-$C$87</f>
        <v>#VALUE!</v>
      </c>
      <c r="E94" s="17" t="e">
        <f>e_api_feedget($C94,$E$93)+$C$87-$C$87</f>
        <v>#VALUE!</v>
      </c>
      <c r="F94" s="21" t="e">
        <f t="shared" ref="F94:I98" si="0">e_api_feedget($C94,F$93)+$C$87-$C$87</f>
        <v>#VALUE!</v>
      </c>
      <c r="G94" s="21" t="e">
        <f t="shared" si="0"/>
        <v>#VALUE!</v>
      </c>
      <c r="H94" s="21" t="e">
        <f t="shared" si="0"/>
        <v>#VALUE!</v>
      </c>
      <c r="I94" s="23" t="e">
        <f t="shared" si="0"/>
        <v>#VALUE!</v>
      </c>
      <c r="J94" s="2"/>
    </row>
    <row r="95" spans="2:11" x14ac:dyDescent="0.4">
      <c r="B95" s="15" t="s">
        <v>14</v>
      </c>
      <c r="C95" s="16">
        <v>6501</v>
      </c>
      <c r="D95" s="21" t="e">
        <f>e_api_feedget($C95,D$93)+$C$87-$C$87</f>
        <v>#VALUE!</v>
      </c>
      <c r="E95" s="17" t="e">
        <f>e_api_feedget($C95,$E$93)+$C$87-$C$87</f>
        <v>#VALUE!</v>
      </c>
      <c r="F95" s="21" t="e">
        <f t="shared" si="0"/>
        <v>#VALUE!</v>
      </c>
      <c r="G95" s="21" t="e">
        <f t="shared" si="0"/>
        <v>#VALUE!</v>
      </c>
      <c r="H95" s="21" t="e">
        <f t="shared" si="0"/>
        <v>#VALUE!</v>
      </c>
      <c r="I95" s="23" t="e">
        <f t="shared" si="0"/>
        <v>#VALUE!</v>
      </c>
    </row>
    <row r="96" spans="2:11" x14ac:dyDescent="0.4">
      <c r="B96" s="15" t="s">
        <v>15</v>
      </c>
      <c r="C96" s="16">
        <v>7203</v>
      </c>
      <c r="D96" s="21" t="e">
        <f>e_api_feedget($C96,D$93)+$C$87-$C$87</f>
        <v>#VALUE!</v>
      </c>
      <c r="E96" s="17" t="e">
        <f>e_api_feedget($C96,$E$93)+$C$87-$C$87</f>
        <v>#VALUE!</v>
      </c>
      <c r="F96" s="21" t="e">
        <f t="shared" si="0"/>
        <v>#VALUE!</v>
      </c>
      <c r="G96" s="21" t="e">
        <f t="shared" si="0"/>
        <v>#VALUE!</v>
      </c>
      <c r="H96" s="21" t="e">
        <f t="shared" si="0"/>
        <v>#VALUE!</v>
      </c>
      <c r="I96" s="23" t="e">
        <f t="shared" si="0"/>
        <v>#VALUE!</v>
      </c>
    </row>
    <row r="97" spans="1:9" x14ac:dyDescent="0.4">
      <c r="B97" s="15" t="s">
        <v>17</v>
      </c>
      <c r="C97" s="16">
        <v>2897</v>
      </c>
      <c r="D97" s="21" t="e">
        <f>e_api_feedget($C97,D$93)+$C$87-$C$87</f>
        <v>#VALUE!</v>
      </c>
      <c r="E97" s="17" t="e">
        <f>e_api_feedget($C97,$E$93)+$C$87-$C$87</f>
        <v>#VALUE!</v>
      </c>
      <c r="F97" s="21" t="e">
        <f t="shared" si="0"/>
        <v>#VALUE!</v>
      </c>
      <c r="G97" s="21" t="e">
        <f t="shared" si="0"/>
        <v>#VALUE!</v>
      </c>
      <c r="H97" s="21" t="e">
        <f t="shared" si="0"/>
        <v>#VALUE!</v>
      </c>
      <c r="I97" s="23" t="e">
        <f t="shared" si="0"/>
        <v>#VALUE!</v>
      </c>
    </row>
    <row r="98" spans="1:9" ht="17.25" thickBot="1" x14ac:dyDescent="0.45">
      <c r="B98" s="18" t="s">
        <v>18</v>
      </c>
      <c r="C98" s="19">
        <v>3053</v>
      </c>
      <c r="D98" s="22" t="e">
        <f>e_api_feedget($C98,D$93)+$C$87-$C$87</f>
        <v>#VALUE!</v>
      </c>
      <c r="E98" s="20" t="e">
        <f>e_api_feedget($C98,$E$93)+$C$87-$C$87</f>
        <v>#VALUE!</v>
      </c>
      <c r="F98" s="22" t="e">
        <f t="shared" si="0"/>
        <v>#VALUE!</v>
      </c>
      <c r="G98" s="22" t="e">
        <f t="shared" si="0"/>
        <v>#VALUE!</v>
      </c>
      <c r="H98" s="22" t="e">
        <f t="shared" si="0"/>
        <v>#VALUE!</v>
      </c>
      <c r="I98" s="24" t="e">
        <f t="shared" si="0"/>
        <v>#VALUE!</v>
      </c>
    </row>
    <row r="100" spans="1:9" x14ac:dyDescent="0.4">
      <c r="B100" s="1" t="s">
        <v>53</v>
      </c>
    </row>
    <row r="101" spans="1:9" x14ac:dyDescent="0.4">
      <c r="C101" s="5"/>
      <c r="D101" s="1" t="s">
        <v>21</v>
      </c>
      <c r="E101" s="1" t="s">
        <v>54</v>
      </c>
    </row>
    <row r="102" spans="1:9" x14ac:dyDescent="0.4">
      <c r="C102" s="3"/>
      <c r="D102" s="1" t="s">
        <v>21</v>
      </c>
      <c r="E102" s="1" t="s">
        <v>26</v>
      </c>
    </row>
    <row r="104" spans="1:9" x14ac:dyDescent="0.4">
      <c r="B104" s="1" t="s">
        <v>43</v>
      </c>
    </row>
    <row r="105" spans="1:9" x14ac:dyDescent="0.4">
      <c r="C105" s="1" t="s">
        <v>55</v>
      </c>
    </row>
    <row r="106" spans="1:9" x14ac:dyDescent="0.4">
      <c r="C106" s="1" t="s">
        <v>56</v>
      </c>
    </row>
    <row r="108" spans="1:9" x14ac:dyDescent="0.4">
      <c r="C108" s="1" t="s">
        <v>27</v>
      </c>
    </row>
    <row r="111" spans="1:9" x14ac:dyDescent="0.4">
      <c r="A111" s="2" t="s">
        <v>95</v>
      </c>
    </row>
    <row r="112" spans="1:9" x14ac:dyDescent="0.4">
      <c r="B112" s="1" t="s">
        <v>97</v>
      </c>
      <c r="C112" s="1" t="s">
        <v>99</v>
      </c>
    </row>
    <row r="113" spans="2:5" x14ac:dyDescent="0.4">
      <c r="B113" s="2" t="s">
        <v>96</v>
      </c>
      <c r="C113" s="1" t="s">
        <v>100</v>
      </c>
    </row>
    <row r="114" spans="2:5" x14ac:dyDescent="0.4">
      <c r="B114" s="2" t="s">
        <v>105</v>
      </c>
      <c r="C114" s="1" t="s">
        <v>106</v>
      </c>
    </row>
    <row r="115" spans="2:5" x14ac:dyDescent="0.4">
      <c r="B115" s="26" t="s">
        <v>127</v>
      </c>
      <c r="C115" s="25" t="s">
        <v>108</v>
      </c>
      <c r="D115" s="25"/>
      <c r="E115" s="25"/>
    </row>
  </sheetData>
  <mergeCells count="1">
    <mergeCell ref="B92:C92"/>
  </mergeCells>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4" manualBreakCount="4">
    <brk id="23" max="16383" man="1"/>
    <brk id="37" max="16383" man="1"/>
    <brk id="67" max="16383" man="1"/>
    <brk id="90"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ｅ支店・ＡＰＩ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Tachibana157</dc:creator>
  <cp:lastModifiedBy>yoshi</cp:lastModifiedBy>
  <cp:lastPrinted>2026-04-03T04:28:47Z</cp:lastPrinted>
  <dcterms:created xsi:type="dcterms:W3CDTF">2021-10-10T22:10:25Z</dcterms:created>
  <dcterms:modified xsi:type="dcterms:W3CDTF">2026-05-13T03:58:00Z</dcterms:modified>
</cp:coreProperties>
</file>